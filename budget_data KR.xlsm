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workbookPr defaultThemeVersion="166925"/>
  <mc:AlternateContent xmlns:mc="http://schemas.openxmlformats.org/markup-compatibility/2006">
    <mc:Choice Requires="x15">
      <x15ac:absPath xmlns:x15ac="http://schemas.microsoft.com/office/spreadsheetml/2010/11/ac" url="C:\Users\kry62\OneDrive\Desktop\"/>
    </mc:Choice>
  </mc:AlternateContent>
  <xr:revisionPtr revIDLastSave="134" documentId="13_ncr:40009_{22F3D133-3D65-414D-B395-7AA09574FE9C}" xr6:coauthVersionLast="45" xr6:coauthVersionMax="45" xr10:uidLastSave="{6EA92937-3A4F-4649-804D-19F138FD77F0}"/>
  <bookViews>
    <workbookView xWindow="-98" yWindow="-98" windowWidth="20715" windowHeight="13276" activeTab="1" xr2:uid="{00000000-000D-0000-FFFF-FFFF00000000}"/>
  </bookViews>
  <sheets>
    <sheet name="budget_data" sheetId="1" r:id="rId1"/>
    <sheet name="PyBank" sheetId="2" r:id="rId2"/>
    <sheet name="PyPoll" sheetId="3" r:id="rId3"/>
  </sheets>
  <definedNames>
    <definedName name="_xlnm.Print_Area" localSheetId="0">budget_data!$A$90:$E$102</definedName>
    <definedName name="_xlnm.Print_Area" localSheetId="1">PyBank!$A$22:$P$63</definedName>
  </definedNames>
  <calcPr calcId="191029"/>
  <pivotCaches>
    <pivotCache cacheId="0" r:id="rId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 i="1" l="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3" i="1"/>
</calcChain>
</file>

<file path=xl/sharedStrings.xml><?xml version="1.0" encoding="utf-8"?>
<sst xmlns="http://schemas.openxmlformats.org/spreadsheetml/2006/main" count="151" uniqueCount="132">
  <si>
    <t>Change</t>
  </si>
  <si>
    <t>Date</t>
  </si>
  <si>
    <t>Profit/Losses</t>
  </si>
  <si>
    <t>Row Labels</t>
  </si>
  <si>
    <t>Count of Date</t>
  </si>
  <si>
    <t>Sum of Profit/Losses</t>
  </si>
  <si>
    <t>Grand Total</t>
  </si>
  <si>
    <t>Financial Analysis</t>
  </si>
  <si>
    <t>Total Months</t>
  </si>
  <si>
    <t>Net Total P&amp;L</t>
  </si>
  <si>
    <t>Mean P&amp;L Change</t>
  </si>
  <si>
    <t>Max P&amp;L Increase</t>
  </si>
  <si>
    <t>Max P&amp;L Decrease</t>
  </si>
  <si>
    <t xml:space="preserve">Period Unit </t>
  </si>
  <si>
    <t>Month</t>
  </si>
  <si>
    <t>Total Periods</t>
  </si>
  <si>
    <t>Output</t>
  </si>
  <si>
    <t>Print To Terminal</t>
  </si>
  <si>
    <t>Export a text file with the results</t>
  </si>
  <si>
    <t>Jan</t>
  </si>
  <si>
    <t>Feb</t>
  </si>
  <si>
    <t>Mar</t>
  </si>
  <si>
    <t>Apr</t>
  </si>
  <si>
    <t>May</t>
  </si>
  <si>
    <t>Jun</t>
  </si>
  <si>
    <t>Jul</t>
  </si>
  <si>
    <t>Aug</t>
  </si>
  <si>
    <t>Sep</t>
  </si>
  <si>
    <t>Oct</t>
  </si>
  <si>
    <t>Nov</t>
  </si>
  <si>
    <t>Dec</t>
  </si>
  <si>
    <t>Python Homework - Py Me Up, Charlie</t>
  </si>
  <si>
    <t>Background</t>
  </si>
  <si>
    <t>Well... you've made it!</t>
  </si>
  <si>
    <t>Before You Begin</t>
  </si>
  <si>
    <t>PyBank</t>
  </si>
  <si>
    <t>Your task is to create a Python script that analyzes the records to calculate each of the following:</t>
  </si>
  <si>
    <t>The total number of months included in the dataset</t>
  </si>
  <si>
    <t>The net total amount of "Profit/Losses" over the entire period</t>
  </si>
  <si>
    <t>The average of the changes in "Profit/Losses" over the entire period</t>
  </si>
  <si>
    <t>The greatest increase in profits (date and amount) over the entire period</t>
  </si>
  <si>
    <t>The greatest decrease in losses (date and amount) over the entire period</t>
  </si>
  <si>
    <t>As an example, your analysis should look similar to the one below:</t>
  </si>
  <si>
    <t>----------------------------</t>
  </si>
  <si>
    <t>Total Months: 86</t>
  </si>
  <si>
    <t>Total: $38382578</t>
  </si>
  <si>
    <t>Average  Change: $-2315.12</t>
  </si>
  <si>
    <t>Greatest Increase in Profits: Feb-2012 ($1926159)</t>
  </si>
  <si>
    <t>Greatest Decrease in Profits: Sep-2013 ($-2196167)</t>
  </si>
  <si>
    <t>In addition, your final script should both print the analysis to the terminal and export a text file with the results.</t>
  </si>
  <si>
    <t>PyPoll</t>
  </si>
  <si>
    <t>In this challenge, you are tasked with helping a small, rural town modernize its vote-counting process. (Up until now, Uncle Cleetus had been trustfully tallying them one-by-one, but unfortunately, his concentration isn't what it used to be.)</t>
  </si>
  <si>
    <t>The total number of votes cast</t>
  </si>
  <si>
    <t>A complete list of candidates who received votes</t>
  </si>
  <si>
    <t>The percentage of votes each candidate won</t>
  </si>
  <si>
    <t>The total number of votes each candidate won</t>
  </si>
  <si>
    <t>The winner of the election based on popular vote.</t>
  </si>
  <si>
    <t>Election Results</t>
  </si>
  <si>
    <t>-------------------------</t>
  </si>
  <si>
    <t>Total Votes: 3521001</t>
  </si>
  <si>
    <t>Khan: 63.000% (2218231)</t>
  </si>
  <si>
    <t>Correy: 20.000% (704200)</t>
  </si>
  <si>
    <t>Li: 14.000% (492940)</t>
  </si>
  <si>
    <t>O'Tooley: 3.000% (105630)</t>
  </si>
  <si>
    <t>Winner: Khan</t>
  </si>
  <si>
    <t>Hints and Considerations</t>
  </si>
  <si>
    <t>As you will discover, for some of these challenges, the datasets are quite large. This was done purposefully, as it showcases one of the limits of Excel-based analysis. While our first instinct, as data analysts, is often to head straight into Excel, creating scripts in Python can provide us with more robust options for handling "big data".</t>
  </si>
  <si>
    <t>Your scripts should work for each dataset provided. Run your script for each dataset separately to make sure that the code works for different data.</t>
  </si>
  <si>
    <t>Feel encouraged to work in groups, but don't shortchange yourself by copying someone else's work. You get what you put in, and the art of programming is extremely unforgiving to moochers. Dig your heels in, burn the night oil, and learn this while you can! These are skills that will pay dividends in your future career.</t>
  </si>
  <si>
    <t>Always commit your work and back it up with GitHub pushes. You don't want to lose hours of your work because you didn't push it to GitHub every half hour or so.</t>
  </si>
  <si>
    <t>Create a new repository for this project called python-challenge. Do not add this homework to an existing repository.</t>
  </si>
  <si>
    <t>Clone the new repository to your computer.</t>
  </si>
  <si>
    <t>Inside your local git repository, create a directory for both of the Python Challenges. Use folder names corresponding to the challenges: PyBank and PyPoll.</t>
  </si>
  <si>
    <t>Inside of each folder that you just created, add a new file called main.py. This will be the main script to run for each analysis.</t>
  </si>
  <si>
    <t>Push the above changes to GitHub or GitLab.</t>
  </si>
  <si>
    <t>Revenue</t>
  </si>
  <si>
    <t>In this challenge, you are tasked with creating a Python script for analyzing the financial records of your company. You will give a set of financial data called budget_data.csv. The dataset is composed of two columns: Date and Profit/Losses. (Thankfully, your company has rather lax standards for accounting so the records are simple.)</t>
  </si>
  <si>
    <t>Vote-Counting</t>
  </si>
  <si>
    <t>You will be give a set of poll data called election_data.csv. The dataset is composed of three columns: Voter ID, County, and Candidate. Your task is to create a Python script that analyzes the votes and calculates each of the following:</t>
  </si>
  <si>
    <t>Consider what we've learned so far. To date, we've learned how to import modules like csv; to read and write files in various formats; to store contents in variables, lists, and dictionaries; to iterate through basic data structures; and to debug along the way. Using what we've learned, try to break down you tasks into discrete mini-objectives. This will be a much better course of action than attempting to Google Search for a miracle.</t>
  </si>
  <si>
    <t>Start early, and reach out for help often! Challenge yourself to identify specific questions for your instructors and TAs. Don't resign yourself to simply saying, "I'm totally lost." Come prepared to show your effort and thought patterns, we'll be happy to help along the way.</t>
  </si>
  <si>
    <t>X</t>
  </si>
  <si>
    <t>Pseudo Coding</t>
  </si>
  <si>
    <t>Import os and csv modules as they are necessary for os.path.join() method.</t>
  </si>
  <si>
    <t>Read file via csvreader module</t>
  </si>
  <si>
    <t>v1</t>
  </si>
  <si>
    <t>v2</t>
  </si>
  <si>
    <t>v3</t>
  </si>
  <si>
    <t>v4</t>
  </si>
  <si>
    <t>v5</t>
  </si>
  <si>
    <t>Total_Months = Length or Count of Date Column records</t>
  </si>
  <si>
    <t>Total_ Net_ P&amp;L = Sum Profit/Losses records</t>
  </si>
  <si>
    <t>AverageMC = Current Month - Prior Month (P&amp;L records) / # records</t>
  </si>
  <si>
    <t>MaxProfit = Largest Average Monthly Change value</t>
  </si>
  <si>
    <t>MaxLoss = Smallest Average Monthly Change value</t>
  </si>
  <si>
    <t>Set relative path to retreive source data ie from mainbank.py to budget_data.csv</t>
  </si>
  <si>
    <t>Create variables for output required (1.  Total Months, 2.  Total Net P&amp;L  3. Average Monthly Change 4. Max Monthly Profit 5. Max Monthly Loss)</t>
  </si>
  <si>
    <t>Read and Loop through data</t>
  </si>
  <si>
    <t>Read/Loop P&amp;L records and calculate Average Monthly Change</t>
  </si>
  <si>
    <t>Average all instances of Monthly Change. Print</t>
  </si>
  <si>
    <t xml:space="preserve">Count Date Column records via Len.  Print </t>
  </si>
  <si>
    <t xml:space="preserve">Sum Profit/Losses records via Sum.  Print </t>
  </si>
  <si>
    <t>Print Min Value of Average Monthly Change and corresponding date.</t>
  </si>
  <si>
    <t>Print Max Value of Average Monthly Change and corresponding Date</t>
  </si>
  <si>
    <t>must convert data from strings to numerical?</t>
  </si>
  <si>
    <t>Approach :</t>
  </si>
  <si>
    <t>Read input number asking for length of the list using input() or raw_input() .</t>
  </si>
  <si>
    <t>Initialise an empty list lst = [] .</t>
  </si>
  <si>
    <t>Read each number using a for loop .</t>
  </si>
  <si>
    <t>In the for loop append each number to the list.</t>
  </si>
  <si>
    <t>Now we use predefined function sum() to find the sum of all the elements in a list.</t>
  </si>
  <si>
    <t>Print the result.</t>
  </si>
  <si>
    <t>Loop through the csv file</t>
  </si>
  <si>
    <t xml:space="preserve">    for row in csvreader:</t>
  </si>
  <si>
    <t xml:space="preserve">        x = (row[1])</t>
  </si>
  <si>
    <t xml:space="preserve">        data = [x]</t>
  </si>
  <si>
    <t xml:space="preserve">        data = list(map(int, data)) </t>
  </si>
  <si>
    <t xml:space="preserve">        sum(data)</t>
  </si>
  <si>
    <t xml:space="preserve">        </t>
  </si>
  <si>
    <t>I would create a variable to hold the sum (e.g. pnl_total = 0)</t>
  </si>
  <si>
    <t>then when I would keep adding the total from each row when I am lop through the data like so:</t>
  </si>
  <si>
    <t>for row in csvreader:</t>
  </si>
  <si>
    <t xml:space="preserve">  pnl_total += row[1]</t>
  </si>
  <si>
    <t>Using the += is a way to tell python to add the pnl from the current row to the existing total</t>
  </si>
  <si>
    <t>otherwise if you just said pnl_total = row[1] , it would keep overwriting the pnl_total with the value of the current row in the loop</t>
  </si>
  <si>
    <t>Create variables for output required (1.  Total Votes Cast  2.  List of Candidates 3. % of Votes per Candidate 4. Total votes per Candidate 5. Winner</t>
  </si>
  <si>
    <t>total_votes = Count of Rows</t>
  </si>
  <si>
    <t xml:space="preserve"> v2</t>
  </si>
  <si>
    <t>candidate = Index or row [2} than remove duplicates</t>
  </si>
  <si>
    <t>percwon = calculation of number of votes per candidadte / total votes</t>
  </si>
  <si>
    <t xml:space="preserve">votesper= tally votes per candidate.  Nested If </t>
  </si>
  <si>
    <t xml:space="preserve">Winner=  Max Votes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</si>
</sst>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0_);[Red]\(&quot;$&quot;#,##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u/>
      <sz val="11"/>
      <color theme="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rgb="FFFF00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7">
    <xf numFmtId="0" fontId="0" fillId="0" borderId="0" xfId="0"/>
    <xf numFmtId="6" fontId="0" fillId="0" borderId="0" xfId="0" applyNumberFormat="1"/>
    <xf numFmtId="0" fontId="0" fillId="0" borderId="0" xfId="0" applyNumberFormat="1"/>
    <xf numFmtId="0" fontId="0" fillId="0" borderId="0" xfId="0" pivotButton="1"/>
    <xf numFmtId="0" fontId="0" fillId="0" borderId="0" xfId="0" applyAlignment="1">
      <alignment horizontal="left"/>
    </xf>
    <xf numFmtId="0" fontId="16" fillId="0" borderId="0" xfId="0" applyFont="1" applyAlignment="1">
      <alignment horizontal="center"/>
    </xf>
    <xf numFmtId="0" fontId="0" fillId="0" borderId="0" xfId="0" applyAlignment="1">
      <alignment horizontal="center"/>
    </xf>
    <xf numFmtId="16" fontId="0" fillId="0" borderId="0" xfId="0" applyNumberFormat="1" applyAlignment="1">
      <alignment horizontal="center"/>
    </xf>
    <xf numFmtId="6" fontId="0" fillId="0" borderId="0" xfId="0" applyNumberFormat="1" applyAlignment="1">
      <alignment horizontal="center"/>
    </xf>
    <xf numFmtId="0" fontId="18" fillId="0" borderId="0" xfId="0" applyFont="1" applyAlignment="1">
      <alignment horizontal="left"/>
    </xf>
    <xf numFmtId="0" fontId="0" fillId="33" borderId="10" xfId="0" applyFill="1" applyBorder="1" applyAlignment="1">
      <alignment horizontal="center"/>
    </xf>
    <xf numFmtId="0" fontId="16" fillId="0" borderId="0" xfId="0" applyFont="1"/>
    <xf numFmtId="0" fontId="19" fillId="0" borderId="0" xfId="0" applyFont="1"/>
    <xf numFmtId="0" fontId="0" fillId="34" borderId="10" xfId="0" applyFill="1" applyBorder="1"/>
    <xf numFmtId="0" fontId="14" fillId="0" borderId="0" xfId="0" applyFont="1"/>
    <xf numFmtId="20" fontId="0" fillId="0" borderId="0" xfId="0" applyNumberFormat="1"/>
    <xf numFmtId="0" fontId="0" fillId="0" borderId="0" xfId="0"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numFmt numFmtId="10" formatCode="&quot;$&quot;#,##0_);[Red]\(&quot;$&quo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vin Ryan" refreshedDate="43880.553525115742" createdVersion="6" refreshedVersion="6" minRefreshableVersion="3" recordCount="86" xr:uid="{00000000-000A-0000-FFFF-FFFF02000000}">
  <cacheSource type="worksheet">
    <worksheetSource ref="C1:D87" sheet="budget_data"/>
  </cacheSource>
  <cacheFields count="3">
    <cacheField name="Date" numFmtId="16">
      <sharedItems containsSemiMixedTypes="0" containsNonDate="0" containsDate="1" containsString="0" minDate="2020-01-10T00:00:00" maxDate="2020-12-17T00:00:00" count="86">
        <d v="2020-01-10T00:00:00"/>
        <d v="2020-02-10T00:00:00"/>
        <d v="2020-03-10T00:00:00"/>
        <d v="2020-04-10T00:00:00"/>
        <d v="2020-05-10T00:00:00"/>
        <d v="2020-06-10T00:00:00"/>
        <d v="2020-07-10T00:00:00"/>
        <d v="2020-08-10T00:00:00"/>
        <d v="2020-09-10T00:00:00"/>
        <d v="2020-10-10T00:00:00"/>
        <d v="2020-11-10T00:00:00"/>
        <d v="2020-12-10T00:00:00"/>
        <d v="2020-01-11T00:00:00"/>
        <d v="2020-02-11T00:00:00"/>
        <d v="2020-03-11T00:00:00"/>
        <d v="2020-04-11T00:00:00"/>
        <d v="2020-05-11T00:00:00"/>
        <d v="2020-06-11T00:00:00"/>
        <d v="2020-07-11T00:00:00"/>
        <d v="2020-08-11T00:00:00"/>
        <d v="2020-09-11T00:00:00"/>
        <d v="2020-10-11T00:00:00"/>
        <d v="2020-11-11T00:00:00"/>
        <d v="2020-12-11T00:00:00"/>
        <d v="2020-01-12T00:00:00"/>
        <d v="2020-02-12T00:00:00"/>
        <d v="2020-03-12T00:00:00"/>
        <d v="2020-04-12T00:00:00"/>
        <d v="2020-05-12T00:00:00"/>
        <d v="2020-06-12T00:00:00"/>
        <d v="2020-07-12T00:00:00"/>
        <d v="2020-08-12T00:00:00"/>
        <d v="2020-09-12T00:00:00"/>
        <d v="2020-10-12T00:00:00"/>
        <d v="2020-11-12T00:00:00"/>
        <d v="2020-12-12T00:00:00"/>
        <d v="2020-01-13T00:00:00"/>
        <d v="2020-02-13T00:00:00"/>
        <d v="2020-03-13T00:00:00"/>
        <d v="2020-04-13T00:00:00"/>
        <d v="2020-05-13T00:00:00"/>
        <d v="2020-06-13T00:00:00"/>
        <d v="2020-07-13T00:00:00"/>
        <d v="2020-08-13T00:00:00"/>
        <d v="2020-09-13T00:00:00"/>
        <d v="2020-10-13T00:00:00"/>
        <d v="2020-11-13T00:00:00"/>
        <d v="2020-12-13T00:00:00"/>
        <d v="2020-01-14T00:00:00"/>
        <d v="2020-02-14T00:00:00"/>
        <d v="2020-03-14T00:00:00"/>
        <d v="2020-04-14T00:00:00"/>
        <d v="2020-05-14T00:00:00"/>
        <d v="2020-06-14T00:00:00"/>
        <d v="2020-07-14T00:00:00"/>
        <d v="2020-08-14T00:00:00"/>
        <d v="2020-09-14T00:00:00"/>
        <d v="2020-10-14T00:00:00"/>
        <d v="2020-11-14T00:00:00"/>
        <d v="2020-12-14T00:00:00"/>
        <d v="2020-01-15T00:00:00"/>
        <d v="2020-02-15T00:00:00"/>
        <d v="2020-03-15T00:00:00"/>
        <d v="2020-04-15T00:00:00"/>
        <d v="2020-05-15T00:00:00"/>
        <d v="2020-06-15T00:00:00"/>
        <d v="2020-07-15T00:00:00"/>
        <d v="2020-08-15T00:00:00"/>
        <d v="2020-09-15T00:00:00"/>
        <d v="2020-10-15T00:00:00"/>
        <d v="2020-11-15T00:00:00"/>
        <d v="2020-12-15T00:00:00"/>
        <d v="2020-01-16T00:00:00"/>
        <d v="2020-02-16T00:00:00"/>
        <d v="2020-03-16T00:00:00"/>
        <d v="2020-04-16T00:00:00"/>
        <d v="2020-05-16T00:00:00"/>
        <d v="2020-06-16T00:00:00"/>
        <d v="2020-07-16T00:00:00"/>
        <d v="2020-08-16T00:00:00"/>
        <d v="2020-09-16T00:00:00"/>
        <d v="2020-10-16T00:00:00"/>
        <d v="2020-11-16T00:00:00"/>
        <d v="2020-12-16T00:00:00"/>
        <d v="2020-01-17T00:00:00"/>
        <d v="2020-02-17T00:00:00"/>
      </sharedItems>
      <fieldGroup par="2" base="0">
        <rangePr groupBy="days" startDate="2020-01-10T00:00:00" endDate="2020-12-17T00:00:00"/>
        <groupItems count="368">
          <s v="&lt;1/10/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17/2020"/>
        </groupItems>
      </fieldGroup>
    </cacheField>
    <cacheField name="Profit/Losses" numFmtId="6">
      <sharedItems containsSemiMixedTypes="0" containsString="0" containsNumber="1" containsInteger="1" minValue="-1196225" maxValue="1170593"/>
    </cacheField>
    <cacheField name="Months" numFmtId="0" databaseField="0">
      <fieldGroup base="0">
        <rangePr groupBy="months" startDate="2020-01-10T00:00:00" endDate="2020-12-17T00:00:00"/>
        <groupItems count="14">
          <s v="&lt;1/10/2020"/>
          <s v="Jan"/>
          <s v="Feb"/>
          <s v="Mar"/>
          <s v="Apr"/>
          <s v="May"/>
          <s v="Jun"/>
          <s v="Jul"/>
          <s v="Aug"/>
          <s v="Sep"/>
          <s v="Oct"/>
          <s v="Nov"/>
          <s v="Dec"/>
          <s v="&gt;12/17/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6">
  <r>
    <x v="0"/>
    <n v="867884"/>
  </r>
  <r>
    <x v="1"/>
    <n v="984655"/>
  </r>
  <r>
    <x v="2"/>
    <n v="322013"/>
  </r>
  <r>
    <x v="3"/>
    <n v="-69417"/>
  </r>
  <r>
    <x v="4"/>
    <n v="310503"/>
  </r>
  <r>
    <x v="5"/>
    <n v="522857"/>
  </r>
  <r>
    <x v="6"/>
    <n v="1033096"/>
  </r>
  <r>
    <x v="7"/>
    <n v="604885"/>
  </r>
  <r>
    <x v="8"/>
    <n v="-216386"/>
  </r>
  <r>
    <x v="9"/>
    <n v="477532"/>
  </r>
  <r>
    <x v="10"/>
    <n v="893810"/>
  </r>
  <r>
    <x v="11"/>
    <n v="-80353"/>
  </r>
  <r>
    <x v="12"/>
    <n v="779806"/>
  </r>
  <r>
    <x v="13"/>
    <n v="-335203"/>
  </r>
  <r>
    <x v="14"/>
    <n v="697845"/>
  </r>
  <r>
    <x v="15"/>
    <n v="793163"/>
  </r>
  <r>
    <x v="16"/>
    <n v="485070"/>
  </r>
  <r>
    <x v="17"/>
    <n v="584122"/>
  </r>
  <r>
    <x v="18"/>
    <n v="62729"/>
  </r>
  <r>
    <x v="19"/>
    <n v="668179"/>
  </r>
  <r>
    <x v="20"/>
    <n v="899906"/>
  </r>
  <r>
    <x v="21"/>
    <n v="834719"/>
  </r>
  <r>
    <x v="22"/>
    <n v="132003"/>
  </r>
  <r>
    <x v="23"/>
    <n v="309978"/>
  </r>
  <r>
    <x v="24"/>
    <n v="-755566"/>
  </r>
  <r>
    <x v="25"/>
    <n v="1170593"/>
  </r>
  <r>
    <x v="26"/>
    <n v="252788"/>
  </r>
  <r>
    <x v="27"/>
    <n v="1151518"/>
  </r>
  <r>
    <x v="28"/>
    <n v="817256"/>
  </r>
  <r>
    <x v="29"/>
    <n v="570757"/>
  </r>
  <r>
    <x v="30"/>
    <n v="506702"/>
  </r>
  <r>
    <x v="31"/>
    <n v="-1022534"/>
  </r>
  <r>
    <x v="32"/>
    <n v="475062"/>
  </r>
  <r>
    <x v="33"/>
    <n v="779976"/>
  </r>
  <r>
    <x v="34"/>
    <n v="144175"/>
  </r>
  <r>
    <x v="35"/>
    <n v="542494"/>
  </r>
  <r>
    <x v="36"/>
    <n v="359333"/>
  </r>
  <r>
    <x v="37"/>
    <n v="321469"/>
  </r>
  <r>
    <x v="38"/>
    <n v="67780"/>
  </r>
  <r>
    <x v="39"/>
    <n v="471435"/>
  </r>
  <r>
    <x v="40"/>
    <n v="565603"/>
  </r>
  <r>
    <x v="41"/>
    <n v="872480"/>
  </r>
  <r>
    <x v="42"/>
    <n v="789480"/>
  </r>
  <r>
    <x v="43"/>
    <n v="999942"/>
  </r>
  <r>
    <x v="44"/>
    <n v="-1196225"/>
  </r>
  <r>
    <x v="45"/>
    <n v="268997"/>
  </r>
  <r>
    <x v="46"/>
    <n v="-687986"/>
  </r>
  <r>
    <x v="47"/>
    <n v="1150461"/>
  </r>
  <r>
    <x v="48"/>
    <n v="682458"/>
  </r>
  <r>
    <x v="49"/>
    <n v="617856"/>
  </r>
  <r>
    <x v="50"/>
    <n v="824098"/>
  </r>
  <r>
    <x v="51"/>
    <n v="581943"/>
  </r>
  <r>
    <x v="52"/>
    <n v="132864"/>
  </r>
  <r>
    <x v="53"/>
    <n v="448062"/>
  </r>
  <r>
    <x v="54"/>
    <n v="689161"/>
  </r>
  <r>
    <x v="55"/>
    <n v="800701"/>
  </r>
  <r>
    <x v="56"/>
    <n v="1166643"/>
  </r>
  <r>
    <x v="57"/>
    <n v="947333"/>
  </r>
  <r>
    <x v="58"/>
    <n v="578668"/>
  </r>
  <r>
    <x v="59"/>
    <n v="988505"/>
  </r>
  <r>
    <x v="60"/>
    <n v="1139715"/>
  </r>
  <r>
    <x v="61"/>
    <n v="1029471"/>
  </r>
  <r>
    <x v="62"/>
    <n v="687533"/>
  </r>
  <r>
    <x v="63"/>
    <n v="-524626"/>
  </r>
  <r>
    <x v="64"/>
    <n v="158620"/>
  </r>
  <r>
    <x v="65"/>
    <n v="87795"/>
  </r>
  <r>
    <x v="66"/>
    <n v="423389"/>
  </r>
  <r>
    <x v="67"/>
    <n v="840723"/>
  </r>
  <r>
    <x v="68"/>
    <n v="568529"/>
  </r>
  <r>
    <x v="69"/>
    <n v="332067"/>
  </r>
  <r>
    <x v="70"/>
    <n v="989499"/>
  </r>
  <r>
    <x v="71"/>
    <n v="778237"/>
  </r>
  <r>
    <x v="72"/>
    <n v="650000"/>
  </r>
  <r>
    <x v="73"/>
    <n v="-1100387"/>
  </r>
  <r>
    <x v="74"/>
    <n v="-174946"/>
  </r>
  <r>
    <x v="75"/>
    <n v="757143"/>
  </r>
  <r>
    <x v="76"/>
    <n v="445709"/>
  </r>
  <r>
    <x v="77"/>
    <n v="712961"/>
  </r>
  <r>
    <x v="78"/>
    <n v="-1163797"/>
  </r>
  <r>
    <x v="79"/>
    <n v="569899"/>
  </r>
  <r>
    <x v="80"/>
    <n v="768450"/>
  </r>
  <r>
    <x v="81"/>
    <n v="102685"/>
  </r>
  <r>
    <x v="82"/>
    <n v="795914"/>
  </r>
  <r>
    <x v="83"/>
    <n v="60988"/>
  </r>
  <r>
    <x v="84"/>
    <n v="138230"/>
  </r>
  <r>
    <x v="85"/>
    <n v="6710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F3:H16" firstHeaderRow="0" firstDataRow="1" firstDataCol="1"/>
  <pivotFields count="3">
    <pivotField axis="axisRow" dataField="1" numFmtId="16"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dataField="1" numFmtId="6" showAll="0"/>
    <pivotField axis="axisRow" showAll="0">
      <items count="15">
        <item sd="0" x="0"/>
        <item sd="0" x="1"/>
        <item sd="0" x="2"/>
        <item sd="0" x="3"/>
        <item sd="0" x="4"/>
        <item sd="0" x="5"/>
        <item sd="0" x="6"/>
        <item sd="0" x="7"/>
        <item sd="0" x="8"/>
        <item sd="0" x="9"/>
        <item sd="0" x="10"/>
        <item sd="0" x="11"/>
        <item sd="0" x="12"/>
        <item sd="0" x="13"/>
        <item t="default"/>
      </items>
    </pivotField>
  </pivotFields>
  <rowFields count="2">
    <field x="2"/>
    <field x="0"/>
  </rowFields>
  <rowItems count="13">
    <i>
      <x v="1"/>
    </i>
    <i>
      <x v="2"/>
    </i>
    <i>
      <x v="3"/>
    </i>
    <i>
      <x v="4"/>
    </i>
    <i>
      <x v="5"/>
    </i>
    <i>
      <x v="6"/>
    </i>
    <i>
      <x v="7"/>
    </i>
    <i>
      <x v="8"/>
    </i>
    <i>
      <x v="9"/>
    </i>
    <i>
      <x v="10"/>
    </i>
    <i>
      <x v="11"/>
    </i>
    <i>
      <x v="12"/>
    </i>
    <i t="grand">
      <x/>
    </i>
  </rowItems>
  <colFields count="1">
    <field x="-2"/>
  </colFields>
  <colItems count="2">
    <i>
      <x/>
    </i>
    <i i="1">
      <x v="1"/>
    </i>
  </colItems>
  <dataFields count="2">
    <dataField name="Count of Date" fld="0" subtotal="count" baseField="0" baseItem="0"/>
    <dataField name="Sum of Profit/Losses" fld="1" baseField="0" baseItem="0" numFmtId="6"/>
  </dataFields>
  <formats count="1">
    <format dxfId="0">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102"/>
  <sheetViews>
    <sheetView zoomScale="75" zoomScaleNormal="75" workbookViewId="0">
      <selection activeCell="B24" sqref="B24"/>
    </sheetView>
  </sheetViews>
  <sheetFormatPr defaultRowHeight="14.25" x14ac:dyDescent="0.45"/>
  <cols>
    <col min="1" max="1" width="3.3984375" customWidth="1"/>
    <col min="2" max="2" width="15.59765625" style="6" customWidth="1"/>
    <col min="3" max="3" width="13.73046875" style="6" customWidth="1"/>
    <col min="4" max="4" width="14.73046875" style="6" customWidth="1"/>
    <col min="6" max="6" width="12.06640625" bestFit="1" customWidth="1"/>
    <col min="7" max="7" width="5.73046875" customWidth="1"/>
    <col min="8" max="8" width="17.59765625" bestFit="1" customWidth="1"/>
  </cols>
  <sheetData>
    <row r="1" spans="2:8" x14ac:dyDescent="0.45">
      <c r="B1" s="5" t="s">
        <v>0</v>
      </c>
      <c r="C1" s="5" t="s">
        <v>1</v>
      </c>
      <c r="D1" s="5" t="s">
        <v>2</v>
      </c>
    </row>
    <row r="2" spans="2:8" x14ac:dyDescent="0.45">
      <c r="C2" s="7">
        <v>43840</v>
      </c>
      <c r="D2" s="8">
        <v>867884</v>
      </c>
    </row>
    <row r="3" spans="2:8" x14ac:dyDescent="0.45">
      <c r="B3" s="8">
        <f>D3-D2</f>
        <v>116771</v>
      </c>
      <c r="C3" s="7">
        <v>43871</v>
      </c>
      <c r="D3" s="8">
        <v>984655</v>
      </c>
      <c r="F3" s="3" t="s">
        <v>3</v>
      </c>
      <c r="G3" t="s">
        <v>4</v>
      </c>
      <c r="H3" t="s">
        <v>5</v>
      </c>
    </row>
    <row r="4" spans="2:8" x14ac:dyDescent="0.45">
      <c r="B4" s="8">
        <f t="shared" ref="B4:B67" si="0">D4-D3</f>
        <v>-662642</v>
      </c>
      <c r="C4" s="7">
        <v>43900</v>
      </c>
      <c r="D4" s="8">
        <v>322013</v>
      </c>
      <c r="F4" s="4" t="s">
        <v>19</v>
      </c>
      <c r="G4" s="2">
        <v>8</v>
      </c>
      <c r="H4" s="1">
        <v>3861860</v>
      </c>
    </row>
    <row r="5" spans="2:8" x14ac:dyDescent="0.45">
      <c r="B5" s="8">
        <f t="shared" si="0"/>
        <v>-391430</v>
      </c>
      <c r="C5" s="7">
        <v>43931</v>
      </c>
      <c r="D5" s="8">
        <v>-69417</v>
      </c>
      <c r="F5" s="4" t="s">
        <v>20</v>
      </c>
      <c r="G5" s="2">
        <v>8</v>
      </c>
      <c r="H5" s="1">
        <v>3359553</v>
      </c>
    </row>
    <row r="6" spans="2:8" x14ac:dyDescent="0.45">
      <c r="B6" s="8">
        <f t="shared" si="0"/>
        <v>379920</v>
      </c>
      <c r="C6" s="7">
        <v>43961</v>
      </c>
      <c r="D6" s="8">
        <v>310503</v>
      </c>
      <c r="F6" s="4" t="s">
        <v>21</v>
      </c>
      <c r="G6" s="2">
        <v>7</v>
      </c>
      <c r="H6" s="1">
        <v>2677111</v>
      </c>
    </row>
    <row r="7" spans="2:8" x14ac:dyDescent="0.45">
      <c r="B7" s="8">
        <f t="shared" si="0"/>
        <v>212354</v>
      </c>
      <c r="C7" s="7">
        <v>43992</v>
      </c>
      <c r="D7" s="8">
        <v>522857</v>
      </c>
      <c r="F7" s="4" t="s">
        <v>22</v>
      </c>
      <c r="G7" s="2">
        <v>7</v>
      </c>
      <c r="H7" s="1">
        <v>3161159</v>
      </c>
    </row>
    <row r="8" spans="2:8" x14ac:dyDescent="0.45">
      <c r="B8" s="8">
        <f t="shared" si="0"/>
        <v>510239</v>
      </c>
      <c r="C8" s="7">
        <v>44022</v>
      </c>
      <c r="D8" s="8">
        <v>1033096</v>
      </c>
      <c r="F8" s="4" t="s">
        <v>23</v>
      </c>
      <c r="G8" s="2">
        <v>7</v>
      </c>
      <c r="H8" s="1">
        <v>2915625</v>
      </c>
    </row>
    <row r="9" spans="2:8" x14ac:dyDescent="0.45">
      <c r="B9" s="8">
        <f t="shared" si="0"/>
        <v>-428211</v>
      </c>
      <c r="C9" s="7">
        <v>44053</v>
      </c>
      <c r="D9" s="8">
        <v>604885</v>
      </c>
      <c r="F9" s="4" t="s">
        <v>24</v>
      </c>
      <c r="G9" s="2">
        <v>7</v>
      </c>
      <c r="H9" s="1">
        <v>3799034</v>
      </c>
    </row>
    <row r="10" spans="2:8" x14ac:dyDescent="0.45">
      <c r="B10" s="8">
        <f t="shared" si="0"/>
        <v>-821271</v>
      </c>
      <c r="C10" s="7">
        <v>44084</v>
      </c>
      <c r="D10" s="8">
        <v>-216386</v>
      </c>
      <c r="F10" s="4" t="s">
        <v>25</v>
      </c>
      <c r="G10" s="2">
        <v>7</v>
      </c>
      <c r="H10" s="1">
        <v>2340760</v>
      </c>
    </row>
    <row r="11" spans="2:8" x14ac:dyDescent="0.45">
      <c r="B11" s="8">
        <f t="shared" si="0"/>
        <v>693918</v>
      </c>
      <c r="C11" s="7">
        <v>44114</v>
      </c>
      <c r="D11" s="8">
        <v>477532</v>
      </c>
      <c r="F11" s="4" t="s">
        <v>26</v>
      </c>
      <c r="G11" s="2">
        <v>7</v>
      </c>
      <c r="H11" s="1">
        <v>3461795</v>
      </c>
    </row>
    <row r="12" spans="2:8" x14ac:dyDescent="0.45">
      <c r="B12" s="8">
        <f t="shared" si="0"/>
        <v>416278</v>
      </c>
      <c r="C12" s="7">
        <v>44145</v>
      </c>
      <c r="D12" s="8">
        <v>893810</v>
      </c>
      <c r="F12" s="4" t="s">
        <v>27</v>
      </c>
      <c r="G12" s="2">
        <v>7</v>
      </c>
      <c r="H12" s="1">
        <v>2465979</v>
      </c>
    </row>
    <row r="13" spans="2:8" x14ac:dyDescent="0.45">
      <c r="B13" s="8">
        <f t="shared" si="0"/>
        <v>-974163</v>
      </c>
      <c r="C13" s="7">
        <v>44175</v>
      </c>
      <c r="D13" s="8">
        <v>-80353</v>
      </c>
      <c r="F13" s="4" t="s">
        <v>28</v>
      </c>
      <c r="G13" s="2">
        <v>7</v>
      </c>
      <c r="H13" s="1">
        <v>3743309</v>
      </c>
    </row>
    <row r="14" spans="2:8" x14ac:dyDescent="0.45">
      <c r="B14" s="8">
        <f t="shared" si="0"/>
        <v>860159</v>
      </c>
      <c r="C14" s="7">
        <v>43841</v>
      </c>
      <c r="D14" s="8">
        <v>779806</v>
      </c>
      <c r="F14" s="4" t="s">
        <v>29</v>
      </c>
      <c r="G14" s="2">
        <v>7</v>
      </c>
      <c r="H14" s="1">
        <v>2846083</v>
      </c>
    </row>
    <row r="15" spans="2:8" x14ac:dyDescent="0.45">
      <c r="B15" s="8">
        <f t="shared" si="0"/>
        <v>-1115009</v>
      </c>
      <c r="C15" s="7">
        <v>43872</v>
      </c>
      <c r="D15" s="8">
        <v>-335203</v>
      </c>
      <c r="F15" s="4" t="s">
        <v>30</v>
      </c>
      <c r="G15" s="2">
        <v>7</v>
      </c>
      <c r="H15" s="1">
        <v>3750310</v>
      </c>
    </row>
    <row r="16" spans="2:8" x14ac:dyDescent="0.45">
      <c r="B16" s="8">
        <f t="shared" si="0"/>
        <v>1033048</v>
      </c>
      <c r="C16" s="7">
        <v>43901</v>
      </c>
      <c r="D16" s="8">
        <v>697845</v>
      </c>
      <c r="F16" s="4" t="s">
        <v>6</v>
      </c>
      <c r="G16" s="2">
        <v>86</v>
      </c>
      <c r="H16" s="1">
        <v>38382578</v>
      </c>
    </row>
    <row r="17" spans="2:4" x14ac:dyDescent="0.45">
      <c r="B17" s="8">
        <f t="shared" si="0"/>
        <v>95318</v>
      </c>
      <c r="C17" s="7">
        <v>43932</v>
      </c>
      <c r="D17" s="8">
        <v>793163</v>
      </c>
    </row>
    <row r="18" spans="2:4" x14ac:dyDescent="0.45">
      <c r="B18" s="8">
        <f t="shared" si="0"/>
        <v>-308093</v>
      </c>
      <c r="C18" s="7">
        <v>43962</v>
      </c>
      <c r="D18" s="8">
        <v>485070</v>
      </c>
    </row>
    <row r="19" spans="2:4" x14ac:dyDescent="0.45">
      <c r="B19" s="8">
        <f t="shared" si="0"/>
        <v>99052</v>
      </c>
      <c r="C19" s="7">
        <v>43993</v>
      </c>
      <c r="D19" s="8">
        <v>584122</v>
      </c>
    </row>
    <row r="20" spans="2:4" x14ac:dyDescent="0.45">
      <c r="B20" s="8">
        <f t="shared" si="0"/>
        <v>-521393</v>
      </c>
      <c r="C20" s="7">
        <v>44023</v>
      </c>
      <c r="D20" s="8">
        <v>62729</v>
      </c>
    </row>
    <row r="21" spans="2:4" x14ac:dyDescent="0.45">
      <c r="B21" s="8">
        <f t="shared" si="0"/>
        <v>605450</v>
      </c>
      <c r="C21" s="7">
        <v>44054</v>
      </c>
      <c r="D21" s="8">
        <v>668179</v>
      </c>
    </row>
    <row r="22" spans="2:4" x14ac:dyDescent="0.45">
      <c r="B22" s="8">
        <f t="shared" si="0"/>
        <v>231727</v>
      </c>
      <c r="C22" s="7">
        <v>44085</v>
      </c>
      <c r="D22" s="8">
        <v>899906</v>
      </c>
    </row>
    <row r="23" spans="2:4" x14ac:dyDescent="0.45">
      <c r="B23" s="8">
        <f t="shared" si="0"/>
        <v>-65187</v>
      </c>
      <c r="C23" s="7">
        <v>44115</v>
      </c>
      <c r="D23" s="8">
        <v>834719</v>
      </c>
    </row>
    <row r="24" spans="2:4" x14ac:dyDescent="0.45">
      <c r="B24" s="8">
        <f t="shared" si="0"/>
        <v>-702716</v>
      </c>
      <c r="C24" s="7">
        <v>44146</v>
      </c>
      <c r="D24" s="8">
        <v>132003</v>
      </c>
    </row>
    <row r="25" spans="2:4" x14ac:dyDescent="0.45">
      <c r="B25" s="8">
        <f t="shared" si="0"/>
        <v>177975</v>
      </c>
      <c r="C25" s="7">
        <v>44176</v>
      </c>
      <c r="D25" s="8">
        <v>309978</v>
      </c>
    </row>
    <row r="26" spans="2:4" x14ac:dyDescent="0.45">
      <c r="B26" s="8">
        <f t="shared" si="0"/>
        <v>-1065544</v>
      </c>
      <c r="C26" s="7">
        <v>43842</v>
      </c>
      <c r="D26" s="8">
        <v>-755566</v>
      </c>
    </row>
    <row r="27" spans="2:4" x14ac:dyDescent="0.45">
      <c r="B27" s="8">
        <f t="shared" si="0"/>
        <v>1926159</v>
      </c>
      <c r="C27" s="7">
        <v>43873</v>
      </c>
      <c r="D27" s="8">
        <v>1170593</v>
      </c>
    </row>
    <row r="28" spans="2:4" x14ac:dyDescent="0.45">
      <c r="B28" s="8">
        <f t="shared" si="0"/>
        <v>-917805</v>
      </c>
      <c r="C28" s="7">
        <v>43902</v>
      </c>
      <c r="D28" s="8">
        <v>252788</v>
      </c>
    </row>
    <row r="29" spans="2:4" x14ac:dyDescent="0.45">
      <c r="B29" s="8">
        <f t="shared" si="0"/>
        <v>898730</v>
      </c>
      <c r="C29" s="7">
        <v>43933</v>
      </c>
      <c r="D29" s="8">
        <v>1151518</v>
      </c>
    </row>
    <row r="30" spans="2:4" x14ac:dyDescent="0.45">
      <c r="B30" s="8">
        <f t="shared" si="0"/>
        <v>-334262</v>
      </c>
      <c r="C30" s="7">
        <v>43963</v>
      </c>
      <c r="D30" s="8">
        <v>817256</v>
      </c>
    </row>
    <row r="31" spans="2:4" x14ac:dyDescent="0.45">
      <c r="B31" s="8">
        <f t="shared" si="0"/>
        <v>-246499</v>
      </c>
      <c r="C31" s="7">
        <v>43994</v>
      </c>
      <c r="D31" s="8">
        <v>570757</v>
      </c>
    </row>
    <row r="32" spans="2:4" x14ac:dyDescent="0.45">
      <c r="B32" s="8">
        <f t="shared" si="0"/>
        <v>-64055</v>
      </c>
      <c r="C32" s="7">
        <v>44024</v>
      </c>
      <c r="D32" s="8">
        <v>506702</v>
      </c>
    </row>
    <row r="33" spans="2:4" x14ac:dyDescent="0.45">
      <c r="B33" s="8">
        <f t="shared" si="0"/>
        <v>-1529236</v>
      </c>
      <c r="C33" s="7">
        <v>44055</v>
      </c>
      <c r="D33" s="8">
        <v>-1022534</v>
      </c>
    </row>
    <row r="34" spans="2:4" x14ac:dyDescent="0.45">
      <c r="B34" s="8">
        <f t="shared" si="0"/>
        <v>1497596</v>
      </c>
      <c r="C34" s="7">
        <v>44086</v>
      </c>
      <c r="D34" s="8">
        <v>475062</v>
      </c>
    </row>
    <row r="35" spans="2:4" x14ac:dyDescent="0.45">
      <c r="B35" s="8">
        <f t="shared" si="0"/>
        <v>304914</v>
      </c>
      <c r="C35" s="7">
        <v>44116</v>
      </c>
      <c r="D35" s="8">
        <v>779976</v>
      </c>
    </row>
    <row r="36" spans="2:4" x14ac:dyDescent="0.45">
      <c r="B36" s="8">
        <f t="shared" si="0"/>
        <v>-635801</v>
      </c>
      <c r="C36" s="7">
        <v>44147</v>
      </c>
      <c r="D36" s="8">
        <v>144175</v>
      </c>
    </row>
    <row r="37" spans="2:4" x14ac:dyDescent="0.45">
      <c r="B37" s="8">
        <f t="shared" si="0"/>
        <v>398319</v>
      </c>
      <c r="C37" s="7">
        <v>44177</v>
      </c>
      <c r="D37" s="8">
        <v>542494</v>
      </c>
    </row>
    <row r="38" spans="2:4" x14ac:dyDescent="0.45">
      <c r="B38" s="8">
        <f t="shared" si="0"/>
        <v>-183161</v>
      </c>
      <c r="C38" s="7">
        <v>43843</v>
      </c>
      <c r="D38" s="8">
        <v>359333</v>
      </c>
    </row>
    <row r="39" spans="2:4" x14ac:dyDescent="0.45">
      <c r="B39" s="8">
        <f t="shared" si="0"/>
        <v>-37864</v>
      </c>
      <c r="C39" s="7">
        <v>43874</v>
      </c>
      <c r="D39" s="8">
        <v>321469</v>
      </c>
    </row>
    <row r="40" spans="2:4" x14ac:dyDescent="0.45">
      <c r="B40" s="8">
        <f t="shared" si="0"/>
        <v>-253689</v>
      </c>
      <c r="C40" s="7">
        <v>43903</v>
      </c>
      <c r="D40" s="8">
        <v>67780</v>
      </c>
    </row>
    <row r="41" spans="2:4" x14ac:dyDescent="0.45">
      <c r="B41" s="8">
        <f t="shared" si="0"/>
        <v>403655</v>
      </c>
      <c r="C41" s="7">
        <v>43934</v>
      </c>
      <c r="D41" s="8">
        <v>471435</v>
      </c>
    </row>
    <row r="42" spans="2:4" x14ac:dyDescent="0.45">
      <c r="B42" s="8">
        <f t="shared" si="0"/>
        <v>94168</v>
      </c>
      <c r="C42" s="7">
        <v>43964</v>
      </c>
      <c r="D42" s="8">
        <v>565603</v>
      </c>
    </row>
    <row r="43" spans="2:4" x14ac:dyDescent="0.45">
      <c r="B43" s="8">
        <f t="shared" si="0"/>
        <v>306877</v>
      </c>
      <c r="C43" s="7">
        <v>43995</v>
      </c>
      <c r="D43" s="8">
        <v>872480</v>
      </c>
    </row>
    <row r="44" spans="2:4" x14ac:dyDescent="0.45">
      <c r="B44" s="8">
        <f t="shared" si="0"/>
        <v>-83000</v>
      </c>
      <c r="C44" s="7">
        <v>44025</v>
      </c>
      <c r="D44" s="8">
        <v>789480</v>
      </c>
    </row>
    <row r="45" spans="2:4" x14ac:dyDescent="0.45">
      <c r="B45" s="8">
        <f t="shared" si="0"/>
        <v>210462</v>
      </c>
      <c r="C45" s="7">
        <v>44056</v>
      </c>
      <c r="D45" s="8">
        <v>999942</v>
      </c>
    </row>
    <row r="46" spans="2:4" x14ac:dyDescent="0.45">
      <c r="B46" s="8">
        <f t="shared" si="0"/>
        <v>-2196167</v>
      </c>
      <c r="C46" s="7">
        <v>44087</v>
      </c>
      <c r="D46" s="8">
        <v>-1196225</v>
      </c>
    </row>
    <row r="47" spans="2:4" x14ac:dyDescent="0.45">
      <c r="B47" s="8">
        <f t="shared" si="0"/>
        <v>1465222</v>
      </c>
      <c r="C47" s="7">
        <v>44117</v>
      </c>
      <c r="D47" s="8">
        <v>268997</v>
      </c>
    </row>
    <row r="48" spans="2:4" x14ac:dyDescent="0.45">
      <c r="B48" s="8">
        <f t="shared" si="0"/>
        <v>-956983</v>
      </c>
      <c r="C48" s="7">
        <v>44148</v>
      </c>
      <c r="D48" s="8">
        <v>-687986</v>
      </c>
    </row>
    <row r="49" spans="2:4" x14ac:dyDescent="0.45">
      <c r="B49" s="8">
        <f t="shared" si="0"/>
        <v>1838447</v>
      </c>
      <c r="C49" s="7">
        <v>44178</v>
      </c>
      <c r="D49" s="8">
        <v>1150461</v>
      </c>
    </row>
    <row r="50" spans="2:4" x14ac:dyDescent="0.45">
      <c r="B50" s="8">
        <f t="shared" si="0"/>
        <v>-468003</v>
      </c>
      <c r="C50" s="7">
        <v>43844</v>
      </c>
      <c r="D50" s="8">
        <v>682458</v>
      </c>
    </row>
    <row r="51" spans="2:4" x14ac:dyDescent="0.45">
      <c r="B51" s="8">
        <f t="shared" si="0"/>
        <v>-64602</v>
      </c>
      <c r="C51" s="7">
        <v>43875</v>
      </c>
      <c r="D51" s="8">
        <v>617856</v>
      </c>
    </row>
    <row r="52" spans="2:4" x14ac:dyDescent="0.45">
      <c r="B52" s="8">
        <f t="shared" si="0"/>
        <v>206242</v>
      </c>
      <c r="C52" s="7">
        <v>43904</v>
      </c>
      <c r="D52" s="8">
        <v>824098</v>
      </c>
    </row>
    <row r="53" spans="2:4" x14ac:dyDescent="0.45">
      <c r="B53" s="8">
        <f t="shared" si="0"/>
        <v>-242155</v>
      </c>
      <c r="C53" s="7">
        <v>43935</v>
      </c>
      <c r="D53" s="8">
        <v>581943</v>
      </c>
    </row>
    <row r="54" spans="2:4" x14ac:dyDescent="0.45">
      <c r="B54" s="8">
        <f t="shared" si="0"/>
        <v>-449079</v>
      </c>
      <c r="C54" s="7">
        <v>43965</v>
      </c>
      <c r="D54" s="8">
        <v>132864</v>
      </c>
    </row>
    <row r="55" spans="2:4" x14ac:dyDescent="0.45">
      <c r="B55" s="8">
        <f t="shared" si="0"/>
        <v>315198</v>
      </c>
      <c r="C55" s="7">
        <v>43996</v>
      </c>
      <c r="D55" s="8">
        <v>448062</v>
      </c>
    </row>
    <row r="56" spans="2:4" x14ac:dyDescent="0.45">
      <c r="B56" s="8">
        <f t="shared" si="0"/>
        <v>241099</v>
      </c>
      <c r="C56" s="7">
        <v>44026</v>
      </c>
      <c r="D56" s="8">
        <v>689161</v>
      </c>
    </row>
    <row r="57" spans="2:4" x14ac:dyDescent="0.45">
      <c r="B57" s="8">
        <f t="shared" si="0"/>
        <v>111540</v>
      </c>
      <c r="C57" s="7">
        <v>44057</v>
      </c>
      <c r="D57" s="8">
        <v>800701</v>
      </c>
    </row>
    <row r="58" spans="2:4" x14ac:dyDescent="0.45">
      <c r="B58" s="8">
        <f t="shared" si="0"/>
        <v>365942</v>
      </c>
      <c r="C58" s="7">
        <v>44088</v>
      </c>
      <c r="D58" s="8">
        <v>1166643</v>
      </c>
    </row>
    <row r="59" spans="2:4" x14ac:dyDescent="0.45">
      <c r="B59" s="8">
        <f t="shared" si="0"/>
        <v>-219310</v>
      </c>
      <c r="C59" s="7">
        <v>44118</v>
      </c>
      <c r="D59" s="8">
        <v>947333</v>
      </c>
    </row>
    <row r="60" spans="2:4" x14ac:dyDescent="0.45">
      <c r="B60" s="8">
        <f t="shared" si="0"/>
        <v>-368665</v>
      </c>
      <c r="C60" s="7">
        <v>44149</v>
      </c>
      <c r="D60" s="8">
        <v>578668</v>
      </c>
    </row>
    <row r="61" spans="2:4" x14ac:dyDescent="0.45">
      <c r="B61" s="8">
        <f t="shared" si="0"/>
        <v>409837</v>
      </c>
      <c r="C61" s="7">
        <v>44179</v>
      </c>
      <c r="D61" s="8">
        <v>988505</v>
      </c>
    </row>
    <row r="62" spans="2:4" x14ac:dyDescent="0.45">
      <c r="B62" s="8">
        <f t="shared" si="0"/>
        <v>151210</v>
      </c>
      <c r="C62" s="7">
        <v>43845</v>
      </c>
      <c r="D62" s="8">
        <v>1139715</v>
      </c>
    </row>
    <row r="63" spans="2:4" x14ac:dyDescent="0.45">
      <c r="B63" s="8">
        <f t="shared" si="0"/>
        <v>-110244</v>
      </c>
      <c r="C63" s="7">
        <v>43876</v>
      </c>
      <c r="D63" s="8">
        <v>1029471</v>
      </c>
    </row>
    <row r="64" spans="2:4" x14ac:dyDescent="0.45">
      <c r="B64" s="8">
        <f t="shared" si="0"/>
        <v>-341938</v>
      </c>
      <c r="C64" s="7">
        <v>43905</v>
      </c>
      <c r="D64" s="8">
        <v>687533</v>
      </c>
    </row>
    <row r="65" spans="2:4" x14ac:dyDescent="0.45">
      <c r="B65" s="8">
        <f t="shared" si="0"/>
        <v>-1212159</v>
      </c>
      <c r="C65" s="7">
        <v>43936</v>
      </c>
      <c r="D65" s="8">
        <v>-524626</v>
      </c>
    </row>
    <row r="66" spans="2:4" x14ac:dyDescent="0.45">
      <c r="B66" s="8">
        <f t="shared" si="0"/>
        <v>683246</v>
      </c>
      <c r="C66" s="7">
        <v>43966</v>
      </c>
      <c r="D66" s="8">
        <v>158620</v>
      </c>
    </row>
    <row r="67" spans="2:4" x14ac:dyDescent="0.45">
      <c r="B67" s="8">
        <f t="shared" si="0"/>
        <v>-70825</v>
      </c>
      <c r="C67" s="7">
        <v>43997</v>
      </c>
      <c r="D67" s="8">
        <v>87795</v>
      </c>
    </row>
    <row r="68" spans="2:4" x14ac:dyDescent="0.45">
      <c r="B68" s="8">
        <f t="shared" ref="B68:B87" si="1">D68-D67</f>
        <v>335594</v>
      </c>
      <c r="C68" s="7">
        <v>44027</v>
      </c>
      <c r="D68" s="8">
        <v>423389</v>
      </c>
    </row>
    <row r="69" spans="2:4" x14ac:dyDescent="0.45">
      <c r="B69" s="8">
        <f t="shared" si="1"/>
        <v>417334</v>
      </c>
      <c r="C69" s="7">
        <v>44058</v>
      </c>
      <c r="D69" s="8">
        <v>840723</v>
      </c>
    </row>
    <row r="70" spans="2:4" x14ac:dyDescent="0.45">
      <c r="B70" s="8">
        <f t="shared" si="1"/>
        <v>-272194</v>
      </c>
      <c r="C70" s="7">
        <v>44089</v>
      </c>
      <c r="D70" s="8">
        <v>568529</v>
      </c>
    </row>
    <row r="71" spans="2:4" x14ac:dyDescent="0.45">
      <c r="B71" s="8">
        <f t="shared" si="1"/>
        <v>-236462</v>
      </c>
      <c r="C71" s="7">
        <v>44119</v>
      </c>
      <c r="D71" s="8">
        <v>332067</v>
      </c>
    </row>
    <row r="72" spans="2:4" x14ac:dyDescent="0.45">
      <c r="B72" s="8">
        <f t="shared" si="1"/>
        <v>657432</v>
      </c>
      <c r="C72" s="7">
        <v>44150</v>
      </c>
      <c r="D72" s="8">
        <v>989499</v>
      </c>
    </row>
    <row r="73" spans="2:4" x14ac:dyDescent="0.45">
      <c r="B73" s="8">
        <f t="shared" si="1"/>
        <v>-211262</v>
      </c>
      <c r="C73" s="7">
        <v>44180</v>
      </c>
      <c r="D73" s="8">
        <v>778237</v>
      </c>
    </row>
    <row r="74" spans="2:4" x14ac:dyDescent="0.45">
      <c r="B74" s="8">
        <f t="shared" si="1"/>
        <v>-128237</v>
      </c>
      <c r="C74" s="7">
        <v>43846</v>
      </c>
      <c r="D74" s="8">
        <v>650000</v>
      </c>
    </row>
    <row r="75" spans="2:4" x14ac:dyDescent="0.45">
      <c r="B75" s="8">
        <f t="shared" si="1"/>
        <v>-1750387</v>
      </c>
      <c r="C75" s="7">
        <v>43877</v>
      </c>
      <c r="D75" s="8">
        <v>-1100387</v>
      </c>
    </row>
    <row r="76" spans="2:4" x14ac:dyDescent="0.45">
      <c r="B76" s="8">
        <f t="shared" si="1"/>
        <v>925441</v>
      </c>
      <c r="C76" s="7">
        <v>43906</v>
      </c>
      <c r="D76" s="8">
        <v>-174946</v>
      </c>
    </row>
    <row r="77" spans="2:4" x14ac:dyDescent="0.45">
      <c r="B77" s="8">
        <f t="shared" si="1"/>
        <v>932089</v>
      </c>
      <c r="C77" s="7">
        <v>43937</v>
      </c>
      <c r="D77" s="8">
        <v>757143</v>
      </c>
    </row>
    <row r="78" spans="2:4" x14ac:dyDescent="0.45">
      <c r="B78" s="8">
        <f t="shared" si="1"/>
        <v>-311434</v>
      </c>
      <c r="C78" s="7">
        <v>43967</v>
      </c>
      <c r="D78" s="8">
        <v>445709</v>
      </c>
    </row>
    <row r="79" spans="2:4" x14ac:dyDescent="0.45">
      <c r="B79" s="8">
        <f t="shared" si="1"/>
        <v>267252</v>
      </c>
      <c r="C79" s="7">
        <v>43998</v>
      </c>
      <c r="D79" s="8">
        <v>712961</v>
      </c>
    </row>
    <row r="80" spans="2:4" x14ac:dyDescent="0.45">
      <c r="B80" s="8">
        <f t="shared" si="1"/>
        <v>-1876758</v>
      </c>
      <c r="C80" s="7">
        <v>44028</v>
      </c>
      <c r="D80" s="8">
        <v>-1163797</v>
      </c>
    </row>
    <row r="81" spans="2:4" x14ac:dyDescent="0.45">
      <c r="B81" s="8">
        <f t="shared" si="1"/>
        <v>1733696</v>
      </c>
      <c r="C81" s="7">
        <v>44059</v>
      </c>
      <c r="D81" s="8">
        <v>569899</v>
      </c>
    </row>
    <row r="82" spans="2:4" x14ac:dyDescent="0.45">
      <c r="B82" s="8">
        <f t="shared" si="1"/>
        <v>198551</v>
      </c>
      <c r="C82" s="7">
        <v>44090</v>
      </c>
      <c r="D82" s="8">
        <v>768450</v>
      </c>
    </row>
    <row r="83" spans="2:4" x14ac:dyDescent="0.45">
      <c r="B83" s="8">
        <f t="shared" si="1"/>
        <v>-665765</v>
      </c>
      <c r="C83" s="7">
        <v>44120</v>
      </c>
      <c r="D83" s="8">
        <v>102685</v>
      </c>
    </row>
    <row r="84" spans="2:4" x14ac:dyDescent="0.45">
      <c r="B84" s="8">
        <f t="shared" si="1"/>
        <v>693229</v>
      </c>
      <c r="C84" s="7">
        <v>44151</v>
      </c>
      <c r="D84" s="8">
        <v>795914</v>
      </c>
    </row>
    <row r="85" spans="2:4" x14ac:dyDescent="0.45">
      <c r="B85" s="8">
        <f t="shared" si="1"/>
        <v>-734926</v>
      </c>
      <c r="C85" s="7">
        <v>44181</v>
      </c>
      <c r="D85" s="8">
        <v>60988</v>
      </c>
    </row>
    <row r="86" spans="2:4" x14ac:dyDescent="0.45">
      <c r="B86" s="8">
        <f t="shared" si="1"/>
        <v>77242</v>
      </c>
      <c r="C86" s="7">
        <v>43847</v>
      </c>
      <c r="D86" s="8">
        <v>138230</v>
      </c>
    </row>
    <row r="87" spans="2:4" x14ac:dyDescent="0.45">
      <c r="B87" s="8">
        <f t="shared" si="1"/>
        <v>532869</v>
      </c>
      <c r="C87" s="7">
        <v>43878</v>
      </c>
      <c r="D87" s="8">
        <v>671099</v>
      </c>
    </row>
    <row r="88" spans="2:4" x14ac:dyDescent="0.45">
      <c r="D88" s="8">
        <v>38382578</v>
      </c>
    </row>
    <row r="90" spans="2:4" x14ac:dyDescent="0.45">
      <c r="B90" s="9" t="s">
        <v>7</v>
      </c>
    </row>
    <row r="91" spans="2:4" x14ac:dyDescent="0.45">
      <c r="B91" s="4" t="s">
        <v>8</v>
      </c>
      <c r="C91" s="6">
        <v>86</v>
      </c>
    </row>
    <row r="92" spans="2:4" x14ac:dyDescent="0.45">
      <c r="B92" s="4" t="s">
        <v>9</v>
      </c>
      <c r="C92" s="8">
        <v>38382578</v>
      </c>
    </row>
    <row r="93" spans="2:4" x14ac:dyDescent="0.45">
      <c r="B93" s="4" t="s">
        <v>10</v>
      </c>
      <c r="C93" s="8">
        <v>-2315</v>
      </c>
    </row>
    <row r="94" spans="2:4" x14ac:dyDescent="0.45">
      <c r="B94" s="4" t="s">
        <v>11</v>
      </c>
      <c r="C94" s="8">
        <v>1926159</v>
      </c>
      <c r="D94" s="7">
        <v>43873</v>
      </c>
    </row>
    <row r="95" spans="2:4" x14ac:dyDescent="0.45">
      <c r="B95" s="4" t="s">
        <v>12</v>
      </c>
      <c r="C95" s="8">
        <v>-2196167</v>
      </c>
      <c r="D95" s="7">
        <v>44087</v>
      </c>
    </row>
    <row r="97" spans="1:3" x14ac:dyDescent="0.45">
      <c r="B97" s="6" t="s">
        <v>13</v>
      </c>
      <c r="C97" s="6" t="s">
        <v>14</v>
      </c>
    </row>
    <row r="98" spans="1:3" x14ac:dyDescent="0.45">
      <c r="B98" s="6" t="s">
        <v>15</v>
      </c>
      <c r="C98" s="6">
        <v>86</v>
      </c>
    </row>
    <row r="100" spans="1:3" x14ac:dyDescent="0.45">
      <c r="B100" s="9" t="s">
        <v>16</v>
      </c>
    </row>
    <row r="101" spans="1:3" x14ac:dyDescent="0.45">
      <c r="A101">
        <v>1</v>
      </c>
      <c r="B101" s="6" t="s">
        <v>17</v>
      </c>
    </row>
    <row r="102" spans="1:3" x14ac:dyDescent="0.45">
      <c r="A102">
        <v>2</v>
      </c>
      <c r="B102" s="6" t="s">
        <v>18</v>
      </c>
    </row>
  </sheetData>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18549-571B-4B81-A787-912263FD2A5D}">
  <dimension ref="A2:C89"/>
  <sheetViews>
    <sheetView tabSelected="1" topLeftCell="A38" zoomScale="75" zoomScaleNormal="75" workbookViewId="0">
      <selection activeCell="S79" sqref="S79"/>
    </sheetView>
  </sheetViews>
  <sheetFormatPr defaultRowHeight="14.25" x14ac:dyDescent="0.45"/>
  <cols>
    <col min="1" max="1" width="4.73046875" customWidth="1"/>
    <col min="2" max="2" width="3.3984375" customWidth="1"/>
  </cols>
  <sheetData>
    <row r="2" spans="1:3" x14ac:dyDescent="0.45">
      <c r="C2" t="s">
        <v>31</v>
      </c>
    </row>
    <row r="3" spans="1:3" x14ac:dyDescent="0.45">
      <c r="C3" t="s">
        <v>32</v>
      </c>
    </row>
    <row r="4" spans="1:3" x14ac:dyDescent="0.45">
      <c r="C4" t="s">
        <v>33</v>
      </c>
    </row>
    <row r="6" spans="1:3" x14ac:dyDescent="0.45">
      <c r="C6" s="12" t="s">
        <v>34</v>
      </c>
    </row>
    <row r="7" spans="1:3" x14ac:dyDescent="0.45">
      <c r="A7">
        <v>1</v>
      </c>
      <c r="B7" s="10" t="s">
        <v>81</v>
      </c>
      <c r="C7" t="s">
        <v>70</v>
      </c>
    </row>
    <row r="9" spans="1:3" x14ac:dyDescent="0.45">
      <c r="A9">
        <v>2</v>
      </c>
      <c r="B9" s="10" t="s">
        <v>81</v>
      </c>
      <c r="C9" t="s">
        <v>71</v>
      </c>
    </row>
    <row r="11" spans="1:3" x14ac:dyDescent="0.45">
      <c r="A11">
        <v>3</v>
      </c>
      <c r="B11" s="10" t="s">
        <v>81</v>
      </c>
      <c r="C11" t="s">
        <v>72</v>
      </c>
    </row>
    <row r="13" spans="1:3" x14ac:dyDescent="0.45">
      <c r="A13">
        <v>4</v>
      </c>
      <c r="B13" s="10" t="s">
        <v>81</v>
      </c>
      <c r="C13" t="s">
        <v>73</v>
      </c>
    </row>
    <row r="15" spans="1:3" x14ac:dyDescent="0.45">
      <c r="A15">
        <v>5</v>
      </c>
      <c r="B15" s="10" t="s">
        <v>81</v>
      </c>
      <c r="C15" t="s">
        <v>74</v>
      </c>
    </row>
    <row r="17" spans="1:3" x14ac:dyDescent="0.45">
      <c r="C17" s="11" t="s">
        <v>35</v>
      </c>
    </row>
    <row r="18" spans="1:3" x14ac:dyDescent="0.45">
      <c r="C18" s="12" t="s">
        <v>75</v>
      </c>
    </row>
    <row r="20" spans="1:3" x14ac:dyDescent="0.45">
      <c r="C20" t="s">
        <v>76</v>
      </c>
    </row>
    <row r="22" spans="1:3" x14ac:dyDescent="0.45">
      <c r="C22" t="s">
        <v>36</v>
      </c>
    </row>
    <row r="24" spans="1:3" x14ac:dyDescent="0.45">
      <c r="A24">
        <v>1</v>
      </c>
      <c r="B24" s="13"/>
      <c r="C24" t="s">
        <v>37</v>
      </c>
    </row>
    <row r="26" spans="1:3" x14ac:dyDescent="0.45">
      <c r="A26">
        <v>2</v>
      </c>
      <c r="B26" s="13"/>
      <c r="C26" t="s">
        <v>38</v>
      </c>
    </row>
    <row r="28" spans="1:3" x14ac:dyDescent="0.45">
      <c r="A28">
        <v>3</v>
      </c>
      <c r="B28" s="13"/>
      <c r="C28" t="s">
        <v>39</v>
      </c>
    </row>
    <row r="30" spans="1:3" x14ac:dyDescent="0.45">
      <c r="A30">
        <v>4</v>
      </c>
      <c r="B30" s="13"/>
      <c r="C30" t="s">
        <v>40</v>
      </c>
    </row>
    <row r="32" spans="1:3" x14ac:dyDescent="0.45">
      <c r="A32">
        <v>5</v>
      </c>
      <c r="B32" s="13"/>
      <c r="C32" t="s">
        <v>41</v>
      </c>
    </row>
    <row r="34" spans="2:3" x14ac:dyDescent="0.45">
      <c r="C34" t="s">
        <v>42</v>
      </c>
    </row>
    <row r="36" spans="2:3" x14ac:dyDescent="0.45">
      <c r="C36" t="s">
        <v>7</v>
      </c>
    </row>
    <row r="37" spans="2:3" x14ac:dyDescent="0.45">
      <c r="C37" t="s">
        <v>43</v>
      </c>
    </row>
    <row r="38" spans="2:3" x14ac:dyDescent="0.45">
      <c r="C38" t="s">
        <v>44</v>
      </c>
    </row>
    <row r="39" spans="2:3" x14ac:dyDescent="0.45">
      <c r="C39" t="s">
        <v>45</v>
      </c>
    </row>
    <row r="40" spans="2:3" x14ac:dyDescent="0.45">
      <c r="C40" t="s">
        <v>46</v>
      </c>
    </row>
    <row r="41" spans="2:3" x14ac:dyDescent="0.45">
      <c r="C41" t="s">
        <v>47</v>
      </c>
    </row>
    <row r="42" spans="2:3" x14ac:dyDescent="0.45">
      <c r="C42" t="s">
        <v>48</v>
      </c>
    </row>
    <row r="43" spans="2:3" x14ac:dyDescent="0.45">
      <c r="C43" t="s">
        <v>49</v>
      </c>
    </row>
    <row r="45" spans="2:3" x14ac:dyDescent="0.45">
      <c r="C45" s="12" t="s">
        <v>82</v>
      </c>
    </row>
    <row r="46" spans="2:3" x14ac:dyDescent="0.45">
      <c r="B46">
        <v>1</v>
      </c>
      <c r="C46" t="s">
        <v>83</v>
      </c>
    </row>
    <row r="47" spans="2:3" x14ac:dyDescent="0.45">
      <c r="B47">
        <v>2</v>
      </c>
      <c r="C47" t="s">
        <v>95</v>
      </c>
    </row>
    <row r="48" spans="2:3" x14ac:dyDescent="0.45">
      <c r="B48">
        <v>3</v>
      </c>
      <c r="C48" t="s">
        <v>84</v>
      </c>
    </row>
    <row r="49" spans="2:3" x14ac:dyDescent="0.45">
      <c r="B49">
        <v>4</v>
      </c>
      <c r="C49" t="s">
        <v>96</v>
      </c>
    </row>
    <row r="50" spans="2:3" x14ac:dyDescent="0.45">
      <c r="B50" t="s">
        <v>85</v>
      </c>
      <c r="C50" t="s">
        <v>90</v>
      </c>
    </row>
    <row r="51" spans="2:3" x14ac:dyDescent="0.45">
      <c r="B51" t="s">
        <v>86</v>
      </c>
      <c r="C51" t="s">
        <v>91</v>
      </c>
    </row>
    <row r="52" spans="2:3" x14ac:dyDescent="0.45">
      <c r="B52" t="s">
        <v>87</v>
      </c>
      <c r="C52" t="s">
        <v>92</v>
      </c>
    </row>
    <row r="53" spans="2:3" x14ac:dyDescent="0.45">
      <c r="B53" t="s">
        <v>88</v>
      </c>
      <c r="C53" t="s">
        <v>93</v>
      </c>
    </row>
    <row r="54" spans="2:3" x14ac:dyDescent="0.45">
      <c r="B54" t="s">
        <v>89</v>
      </c>
      <c r="C54" t="s">
        <v>94</v>
      </c>
    </row>
    <row r="55" spans="2:3" x14ac:dyDescent="0.45">
      <c r="B55">
        <v>5</v>
      </c>
      <c r="C55" t="s">
        <v>97</v>
      </c>
    </row>
    <row r="56" spans="2:3" x14ac:dyDescent="0.45">
      <c r="B56">
        <v>6</v>
      </c>
      <c r="C56" t="s">
        <v>100</v>
      </c>
    </row>
    <row r="57" spans="2:3" x14ac:dyDescent="0.45">
      <c r="B57">
        <v>7</v>
      </c>
      <c r="C57" t="s">
        <v>101</v>
      </c>
    </row>
    <row r="58" spans="2:3" x14ac:dyDescent="0.45">
      <c r="C58" s="14" t="s">
        <v>104</v>
      </c>
    </row>
    <row r="59" spans="2:3" x14ac:dyDescent="0.45">
      <c r="B59">
        <v>8</v>
      </c>
      <c r="C59" t="s">
        <v>98</v>
      </c>
    </row>
    <row r="60" spans="2:3" x14ac:dyDescent="0.45">
      <c r="B60">
        <v>9</v>
      </c>
      <c r="C60" t="s">
        <v>99</v>
      </c>
    </row>
    <row r="61" spans="2:3" x14ac:dyDescent="0.45">
      <c r="B61">
        <v>10</v>
      </c>
      <c r="C61" t="s">
        <v>103</v>
      </c>
    </row>
    <row r="62" spans="2:3" x14ac:dyDescent="0.45">
      <c r="B62">
        <v>11</v>
      </c>
      <c r="C62" t="s">
        <v>102</v>
      </c>
    </row>
    <row r="63" spans="2:3" x14ac:dyDescent="0.45">
      <c r="B63">
        <v>12</v>
      </c>
      <c r="C63" t="s">
        <v>18</v>
      </c>
    </row>
    <row r="67" spans="3:3" x14ac:dyDescent="0.45">
      <c r="C67" t="s">
        <v>105</v>
      </c>
    </row>
    <row r="68" spans="3:3" x14ac:dyDescent="0.45">
      <c r="C68" t="s">
        <v>106</v>
      </c>
    </row>
    <row r="69" spans="3:3" x14ac:dyDescent="0.45">
      <c r="C69" t="s">
        <v>107</v>
      </c>
    </row>
    <row r="70" spans="3:3" x14ac:dyDescent="0.45">
      <c r="C70" t="s">
        <v>108</v>
      </c>
    </row>
    <row r="71" spans="3:3" x14ac:dyDescent="0.45">
      <c r="C71" t="s">
        <v>109</v>
      </c>
    </row>
    <row r="72" spans="3:3" x14ac:dyDescent="0.45">
      <c r="C72" t="s">
        <v>110</v>
      </c>
    </row>
    <row r="73" spans="3:3" x14ac:dyDescent="0.45">
      <c r="C73" t="s">
        <v>111</v>
      </c>
    </row>
    <row r="75" spans="3:3" x14ac:dyDescent="0.45">
      <c r="C75" t="s">
        <v>112</v>
      </c>
    </row>
    <row r="76" spans="3:3" x14ac:dyDescent="0.45">
      <c r="C76" t="s">
        <v>113</v>
      </c>
    </row>
    <row r="77" spans="3:3" x14ac:dyDescent="0.45">
      <c r="C77" t="s">
        <v>114</v>
      </c>
    </row>
    <row r="78" spans="3:3" x14ac:dyDescent="0.45">
      <c r="C78" t="s">
        <v>115</v>
      </c>
    </row>
    <row r="79" spans="3:3" x14ac:dyDescent="0.45">
      <c r="C79" t="s">
        <v>116</v>
      </c>
    </row>
    <row r="80" spans="3:3" x14ac:dyDescent="0.45">
      <c r="C80" t="s">
        <v>117</v>
      </c>
    </row>
    <row r="81" spans="3:3" x14ac:dyDescent="0.45">
      <c r="C81" t="s">
        <v>118</v>
      </c>
    </row>
    <row r="82" spans="3:3" x14ac:dyDescent="0.45">
      <c r="C82" t="s">
        <v>119</v>
      </c>
    </row>
    <row r="83" spans="3:3" x14ac:dyDescent="0.45">
      <c r="C83" t="s">
        <v>120</v>
      </c>
    </row>
    <row r="84" spans="3:3" x14ac:dyDescent="0.45">
      <c r="C84" t="s">
        <v>121</v>
      </c>
    </row>
    <row r="85" spans="3:3" x14ac:dyDescent="0.45">
      <c r="C85" t="s">
        <v>122</v>
      </c>
    </row>
    <row r="87" spans="3:3" x14ac:dyDescent="0.45">
      <c r="C87" s="15">
        <v>0.46180555555555558</v>
      </c>
    </row>
    <row r="88" spans="3:3" x14ac:dyDescent="0.45">
      <c r="C88" t="s">
        <v>123</v>
      </c>
    </row>
    <row r="89" spans="3:3" x14ac:dyDescent="0.45">
      <c r="C89" t="s">
        <v>124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C882C-2B7F-453F-A56F-6FC9D26553B7}">
  <dimension ref="A2:D57"/>
  <sheetViews>
    <sheetView topLeftCell="A19" zoomScale="75" zoomScaleNormal="75" workbookViewId="0">
      <selection activeCell="X55" sqref="X55"/>
    </sheetView>
  </sheetViews>
  <sheetFormatPr defaultRowHeight="14.25" x14ac:dyDescent="0.45"/>
  <cols>
    <col min="1" max="1" width="4.73046875" customWidth="1"/>
    <col min="2" max="2" width="5" customWidth="1"/>
  </cols>
  <sheetData>
    <row r="2" spans="1:3" x14ac:dyDescent="0.45">
      <c r="C2" s="11" t="s">
        <v>50</v>
      </c>
    </row>
    <row r="3" spans="1:3" x14ac:dyDescent="0.45">
      <c r="C3" s="12" t="s">
        <v>77</v>
      </c>
    </row>
    <row r="5" spans="1:3" x14ac:dyDescent="0.45">
      <c r="C5" t="s">
        <v>51</v>
      </c>
    </row>
    <row r="7" spans="1:3" x14ac:dyDescent="0.45">
      <c r="C7" t="s">
        <v>78</v>
      </c>
    </row>
    <row r="9" spans="1:3" x14ac:dyDescent="0.45">
      <c r="A9">
        <v>1</v>
      </c>
      <c r="B9" s="13"/>
      <c r="C9" t="s">
        <v>52</v>
      </c>
    </row>
    <row r="11" spans="1:3" x14ac:dyDescent="0.45">
      <c r="A11">
        <v>2</v>
      </c>
      <c r="B11" s="13"/>
      <c r="C11" t="s">
        <v>53</v>
      </c>
    </row>
    <row r="13" spans="1:3" x14ac:dyDescent="0.45">
      <c r="A13">
        <v>3</v>
      </c>
      <c r="B13" s="13"/>
      <c r="C13" t="s">
        <v>54</v>
      </c>
    </row>
    <row r="15" spans="1:3" x14ac:dyDescent="0.45">
      <c r="A15">
        <v>4</v>
      </c>
      <c r="B15" s="13"/>
      <c r="C15" t="s">
        <v>55</v>
      </c>
    </row>
    <row r="17" spans="1:3" x14ac:dyDescent="0.45">
      <c r="A17">
        <v>5</v>
      </c>
      <c r="B17" s="13"/>
      <c r="C17" t="s">
        <v>56</v>
      </c>
    </row>
    <row r="19" spans="1:3" x14ac:dyDescent="0.45">
      <c r="C19" t="s">
        <v>42</v>
      </c>
    </row>
    <row r="21" spans="1:3" x14ac:dyDescent="0.45">
      <c r="C21" t="s">
        <v>57</v>
      </c>
    </row>
    <row r="22" spans="1:3" x14ac:dyDescent="0.45">
      <c r="C22" t="s">
        <v>58</v>
      </c>
    </row>
    <row r="23" spans="1:3" x14ac:dyDescent="0.45">
      <c r="C23" t="s">
        <v>59</v>
      </c>
    </row>
    <row r="24" spans="1:3" x14ac:dyDescent="0.45">
      <c r="C24" t="s">
        <v>58</v>
      </c>
    </row>
    <row r="25" spans="1:3" x14ac:dyDescent="0.45">
      <c r="C25" t="s">
        <v>60</v>
      </c>
    </row>
    <row r="26" spans="1:3" x14ac:dyDescent="0.45">
      <c r="C26" t="s">
        <v>61</v>
      </c>
    </row>
    <row r="27" spans="1:3" x14ac:dyDescent="0.45">
      <c r="C27" t="s">
        <v>62</v>
      </c>
    </row>
    <row r="28" spans="1:3" x14ac:dyDescent="0.45">
      <c r="C28" t="s">
        <v>63</v>
      </c>
    </row>
    <row r="29" spans="1:3" x14ac:dyDescent="0.45">
      <c r="C29" t="s">
        <v>58</v>
      </c>
    </row>
    <row r="30" spans="1:3" x14ac:dyDescent="0.45">
      <c r="C30" t="s">
        <v>64</v>
      </c>
    </row>
    <row r="31" spans="1:3" x14ac:dyDescent="0.45">
      <c r="C31" t="s">
        <v>58</v>
      </c>
    </row>
    <row r="32" spans="1:3" x14ac:dyDescent="0.45">
      <c r="C32" t="s">
        <v>49</v>
      </c>
    </row>
    <row r="34" spans="3:4" x14ac:dyDescent="0.45">
      <c r="C34" t="s">
        <v>65</v>
      </c>
    </row>
    <row r="35" spans="3:4" x14ac:dyDescent="0.45">
      <c r="C35" t="s">
        <v>79</v>
      </c>
    </row>
    <row r="37" spans="3:4" x14ac:dyDescent="0.45">
      <c r="C37" t="s">
        <v>66</v>
      </c>
    </row>
    <row r="39" spans="3:4" x14ac:dyDescent="0.45">
      <c r="C39" t="s">
        <v>67</v>
      </c>
    </row>
    <row r="41" spans="3:4" x14ac:dyDescent="0.45">
      <c r="C41" t="s">
        <v>68</v>
      </c>
    </row>
    <row r="43" spans="3:4" x14ac:dyDescent="0.45">
      <c r="C43" t="s">
        <v>80</v>
      </c>
    </row>
    <row r="45" spans="3:4" x14ac:dyDescent="0.45">
      <c r="C45" t="s">
        <v>69</v>
      </c>
    </row>
    <row r="48" spans="3:4" x14ac:dyDescent="0.45">
      <c r="D48" s="12" t="s">
        <v>82</v>
      </c>
    </row>
    <row r="49" spans="3:4" x14ac:dyDescent="0.45">
      <c r="C49">
        <v>1</v>
      </c>
      <c r="D49" t="s">
        <v>83</v>
      </c>
    </row>
    <row r="50" spans="3:4" x14ac:dyDescent="0.45">
      <c r="C50">
        <v>2</v>
      </c>
      <c r="D50" t="s">
        <v>95</v>
      </c>
    </row>
    <row r="51" spans="3:4" x14ac:dyDescent="0.45">
      <c r="C51">
        <v>3</v>
      </c>
      <c r="D51" t="s">
        <v>84</v>
      </c>
    </row>
    <row r="52" spans="3:4" x14ac:dyDescent="0.45">
      <c r="C52">
        <v>4</v>
      </c>
      <c r="D52" t="s">
        <v>125</v>
      </c>
    </row>
    <row r="53" spans="3:4" x14ac:dyDescent="0.45">
      <c r="C53" s="4" t="s">
        <v>85</v>
      </c>
      <c r="D53" t="s">
        <v>126</v>
      </c>
    </row>
    <row r="54" spans="3:4" x14ac:dyDescent="0.45">
      <c r="C54" s="16" t="s">
        <v>127</v>
      </c>
      <c r="D54" t="s">
        <v>128</v>
      </c>
    </row>
    <row r="55" spans="3:4" x14ac:dyDescent="0.45">
      <c r="C55" t="s">
        <v>87</v>
      </c>
      <c r="D55" t="s">
        <v>129</v>
      </c>
    </row>
    <row r="56" spans="3:4" x14ac:dyDescent="0.45">
      <c r="C56" t="s">
        <v>88</v>
      </c>
      <c r="D56" t="s">
        <v>130</v>
      </c>
    </row>
    <row r="57" spans="3:4" x14ac:dyDescent="0.45">
      <c r="C57" t="s">
        <v>89</v>
      </c>
      <c r="D57"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budget_data</vt:lpstr>
      <vt:lpstr>PyBank</vt:lpstr>
      <vt:lpstr>PyPoll</vt:lpstr>
      <vt:lpstr>budget_data!Print_Area</vt:lpstr>
      <vt:lpstr>PyBank!Print_Area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Ryan</dc:creator>
  <cp:lastModifiedBy>Kevin Ryan</cp:lastModifiedBy>
  <cp:lastPrinted>2020-02-20T18:28:06Z</cp:lastPrinted>
  <dcterms:created xsi:type="dcterms:W3CDTF">2020-02-19T18:15:24Z</dcterms:created>
  <dcterms:modified xsi:type="dcterms:W3CDTF">2020-02-23T03:02:18Z</dcterms:modified>
</cp:coreProperties>
</file>